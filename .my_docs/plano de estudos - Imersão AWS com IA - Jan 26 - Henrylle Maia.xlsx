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AFIOS IMERSAO AWS COM IA" sheetId="1" r:id="rId5"/>
  </sheets>
  <definedNames/>
  <calcPr/>
</workbook>
</file>

<file path=xl/sharedStrings.xml><?xml version="1.0" encoding="utf-8"?>
<sst xmlns="http://schemas.openxmlformats.org/spreadsheetml/2006/main" count="91" uniqueCount="64">
  <si>
    <t>FORMAÇÃO AWS 5.0</t>
  </si>
  <si>
    <t>Plano de Estudos para Inscritos na Imersão AWS &amp; IA - JAN/26</t>
  </si>
  <si>
    <t>SERVIÇO DESAFIO</t>
  </si>
  <si>
    <t>Imersão AWS &amp; IA</t>
  </si>
  <si>
    <t>STATUS DESAFIO</t>
  </si>
  <si>
    <t>OBJETIVO</t>
  </si>
  <si>
    <t>- Participar ao vivo das aulas da Imersão AWS &amp; IA e ter contato profundo com o método que os meus alunos usam na Formação AWS.
- Durante as aulas você receberá um desafio para que possa realizar todas as práticas proposta durante a imersão.
- Entre na comunidade do evento no Treinamento para tirar todas as dúvidas durante o treinamento e sobre os desafios (https://links.formacaoaws.com.br/ltRl)</t>
  </si>
  <si>
    <t>DATA DE INÍCIO DO TREINAMENTO</t>
  </si>
  <si>
    <t>AULAS PARA ASSISTIR</t>
  </si>
  <si>
    <t>Origem</t>
  </si>
  <si>
    <t>Data/Hora</t>
  </si>
  <si>
    <t>Título</t>
  </si>
  <si>
    <t>Link da Aula</t>
  </si>
  <si>
    <t>Duração</t>
  </si>
  <si>
    <t>Duração + Prática</t>
  </si>
  <si>
    <t>Aula Prática?</t>
  </si>
  <si>
    <t>Concluiu?</t>
  </si>
  <si>
    <t>31/01 - 9h30</t>
  </si>
  <si>
    <t>Dia 1 - Manhã: Preparando Ambiente na nuvem, Docker + uso de Agentes de IA com MCP SEVER</t>
  </si>
  <si>
    <t>31/01 - 14h00</t>
  </si>
  <si>
    <t>Dia 1 - Tarde: Migrando nossa app para a AWS + uso de IA para deploy</t>
  </si>
  <si>
    <t>01/02 - 9h30</t>
  </si>
  <si>
    <t>Dia 2 - Manhã: Alta Disponiblidade + Pipeline com CI/CD na AWS</t>
  </si>
  <si>
    <t>01/02 - 14h00</t>
  </si>
  <si>
    <t>Dia 2 - Tarde: Criando Infra usando Linguagem Natural com IA</t>
  </si>
  <si>
    <t>AULAS DE APOIO</t>
  </si>
  <si>
    <t>Aquecimento - Imersão AWS &amp; IA</t>
  </si>
  <si>
    <t>-</t>
  </si>
  <si>
    <t>Como criar VPC com Subnets na AWS + explicação VPC Default | Rede na AWS para Devs, DevOps e Cloud</t>
  </si>
  <si>
    <t>https://youtu.be/X7bIofG1KzU</t>
  </si>
  <si>
    <t>Como ter um ambiente para trabalhar com script gratuito na nuvem</t>
  </si>
  <si>
    <t>https://links.formacaoaws.com.br/aquecimento-gravado-aula-02</t>
  </si>
  <si>
    <t>15 comandos Linux e Shell Script para um profissional que quer trabalhar com AWS e automação</t>
  </si>
  <si>
    <t>https://links.formacaoaws.com.br/aquecimento-gravado-aula-03</t>
  </si>
  <si>
    <t>Por onde começar na AWS?</t>
  </si>
  <si>
    <t>https://links.formacaoaws.com.br/aquecimento-gravado-aula-04</t>
  </si>
  <si>
    <t>Como se conectar a sua EC2 de forma segura na AWS direto do seu navegador</t>
  </si>
  <si>
    <t>https://links.formacaoaws.com.br/aquecimento-gravado-aula-05</t>
  </si>
  <si>
    <t>Conheça a melhor IA para trabalhar com AWS</t>
  </si>
  <si>
    <t>https://hotmart.com/pt-BR/club/formacaoaws/products/5751501/content/V73R8rkpe3</t>
  </si>
  <si>
    <t>Por que saber AWS &amp; IA pode transformar sua carreira</t>
  </si>
  <si>
    <t>https://hotmart.com/pt-BR/club/formacaoaws/products/5751501/content/NOwQrzMbem</t>
  </si>
  <si>
    <t>Github e CI/CD: Tudo que um profissional de TI precisa saber para começar</t>
  </si>
  <si>
    <t>https://hotmart.com/pt-BR/club/formacaoaws/products/5751501/content/oODgRbXN7P</t>
  </si>
  <si>
    <t>Docker na prática</t>
  </si>
  <si>
    <t>https://hotmart.com/pt-BR/club/formacaoaws/products/5751501/content/2OMJr5G946</t>
  </si>
  <si>
    <t>Criação de Conta na Nova Free Tier da AWS</t>
  </si>
  <si>
    <t>https://hotmart.com/pt-BR/club/formacaoaws/products/5751501/content/M7qdKVD1ex</t>
  </si>
  <si>
    <t>CARGA HORÁRIA DE ESTUDOS DO DESAFIO &gt;&gt;&gt;&gt;&gt;&gt;&gt;&gt;&gt;&gt;&gt;&gt;&gt;&gt;&gt;&gt;&gt;&gt;&gt;&gt;&gt;&gt;&gt;&gt;&gt;&gt;&gt;&gt;&gt;</t>
  </si>
  <si>
    <t>LINKS IMPORTANTES</t>
  </si>
  <si>
    <t>Descrição</t>
  </si>
  <si>
    <t>Link</t>
  </si>
  <si>
    <t>Lista de Espera da Formação da AWS (Abriremos uma turma após o Imersão AWS &amp; IA)</t>
  </si>
  <si>
    <t>https://inscricao.formacaoaws.com.br/</t>
  </si>
  <si>
    <t>Comunidade do Imersão AWS &amp; IA para tirar todas as suas dúvidas</t>
  </si>
  <si>
    <t>https://links.formacaoaws.com.br/ltRl</t>
  </si>
  <si>
    <t>Instagram do Henrylle Maia</t>
  </si>
  <si>
    <t>https://instagram.com/henryllemaia</t>
  </si>
  <si>
    <t>Suporte da Formação AWS</t>
  </si>
  <si>
    <t>https://inscricao.formacaoaws.com.br/suporte</t>
  </si>
  <si>
    <t>Desafio Labs de AWS dos alunos no Linkedin</t>
  </si>
  <si>
    <t>https://www.linkedin.com/in/henrylle/recent-activity/all/</t>
  </si>
  <si>
    <t>Histórias inspirados de alunos que alcançaram o próximo nível</t>
  </si>
  <si>
    <t>https://www.youtube.com/playlist?list=PL1GKfF64-2s2P2o-MgFvky-1vNQxntLDT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</si>
</sst>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:ss"/>
    <numFmt numFmtId="166" formatCode="HH:mm:ss"/>
  </numFmts>
  <fonts count="17">
    <font>
      <sz val="10.0"/>
      <color rgb="FF000000"/>
      <name val="Arial"/>
      <scheme val="minor"/>
    </font>
    <font>
      <b/>
      <sz val="45.0"/>
      <color rgb="FFFFFFFF"/>
      <name val="&quot;Barlow Semi Condensed&quot;"/>
    </font>
    <font>
      <b/>
      <sz val="30.0"/>
      <color rgb="FFFFFFFF"/>
      <name val="&quot;Barlow Semi Condensed&quot;"/>
    </font>
    <font>
      <b/>
      <color theme="1"/>
      <name val="Arial"/>
    </font>
    <font>
      <i/>
      <color theme="0"/>
      <name val="Arial"/>
      <scheme val="minor"/>
    </font>
    <font>
      <color theme="1"/>
      <name val="Arial"/>
      <scheme val="minor"/>
    </font>
    <font/>
    <font>
      <b/>
      <sz val="22.0"/>
      <color rgb="FFFFFFFF"/>
      <name val="&quot;Barlow Semi Condensed&quot;"/>
    </font>
    <font>
      <b/>
      <color theme="0"/>
      <name val="Arial"/>
    </font>
    <font>
      <color theme="1"/>
      <name val="Arial"/>
    </font>
    <font>
      <u/>
      <color rgb="FF0000FF"/>
      <name val="Arial"/>
    </font>
    <font>
      <b/>
      <sz val="22.0"/>
      <color rgb="FFFFFFFF"/>
      <name val="Barlow Semi Condensed"/>
    </font>
    <font>
      <b/>
      <u/>
      <color rgb="FF0000FF"/>
    </font>
    <font>
      <u/>
      <color rgb="FF1155CC"/>
      <name val="Arial"/>
    </font>
    <font>
      <b/>
      <u/>
      <color rgb="FF0000FF"/>
      <name val="Arial"/>
    </font>
    <font>
      <b/>
      <sz val="12.0"/>
      <color theme="1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EDEDE"/>
        <bgColor rgb="FFDEDEDE"/>
      </patternFill>
    </fill>
    <fill>
      <patternFill patternType="solid">
        <fgColor theme="1"/>
        <bgColor theme="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readingOrder="0"/>
    </xf>
    <xf borderId="3" fillId="0" fontId="6" numFmtId="0" xfId="0" applyBorder="1" applyFont="1"/>
    <xf borderId="4" fillId="0" fontId="6" numFmtId="0" xfId="0" applyBorder="1" applyFont="1"/>
    <xf borderId="2" fillId="3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1" fillId="3" fontId="3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horizontal="center" readingOrder="0" vertical="bottom"/>
    </xf>
    <xf borderId="1" fillId="0" fontId="5" numFmtId="164" xfId="0" applyAlignment="1" applyBorder="1" applyFont="1" applyNumberFormat="1">
      <alignment readingOrder="0"/>
    </xf>
    <xf borderId="0" fillId="2" fontId="7" numFmtId="0" xfId="0" applyAlignment="1" applyFont="1">
      <alignment horizontal="center" readingOrder="0"/>
    </xf>
    <xf borderId="1" fillId="4" fontId="8" numFmtId="0" xfId="0" applyAlignment="1" applyBorder="1" applyFill="1" applyFont="1">
      <alignment horizontal="center" vertical="bottom"/>
    </xf>
    <xf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readingOrder="0" vertical="bottom"/>
    </xf>
    <xf borderId="1" fillId="0" fontId="9" numFmtId="165" xfId="0" applyAlignment="1" applyBorder="1" applyFont="1" applyNumberFormat="1">
      <alignment horizontal="center" readingOrder="0" vertical="bottom"/>
    </xf>
    <xf borderId="1" fillId="0" fontId="9" numFmtId="166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9" numFmtId="0" xfId="0" applyBorder="1" applyFont="1"/>
    <xf borderId="0" fillId="0" fontId="5" numFmtId="0" xfId="0" applyAlignment="1" applyFont="1">
      <alignment readingOrder="0"/>
    </xf>
    <xf borderId="5" fillId="2" fontId="11" numFmtId="0" xfId="0" applyAlignment="1" applyBorder="1" applyFont="1">
      <alignment horizontal="center" vertical="bottom"/>
    </xf>
    <xf borderId="5" fillId="0" fontId="6" numFmtId="0" xfId="0" applyBorder="1" applyFont="1"/>
    <xf borderId="1" fillId="0" fontId="9" numFmtId="0" xfId="0" applyAlignment="1" applyBorder="1" applyFont="1">
      <alignment horizontal="center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readingOrder="0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6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/>
    </xf>
    <xf borderId="1" fillId="0" fontId="13" numFmtId="0" xfId="0" applyAlignment="1" applyBorder="1" applyFont="1">
      <alignment vertical="bottom"/>
    </xf>
    <xf borderId="1" fillId="0" fontId="9" numFmtId="0" xfId="0" applyAlignment="1" applyBorder="1" applyFont="1">
      <alignment horizontal="center" readingOrder="0"/>
    </xf>
    <xf borderId="1" fillId="0" fontId="14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readingOrder="0" vertical="bottom"/>
    </xf>
    <xf borderId="0" fillId="0" fontId="9" numFmtId="165" xfId="0" applyAlignment="1" applyFont="1" applyNumberFormat="1">
      <alignment horizontal="center" readingOrder="0" vertical="bottom"/>
    </xf>
    <xf borderId="0" fillId="0" fontId="9" numFmtId="166" xfId="0" applyAlignment="1" applyFont="1" applyNumberFormat="1">
      <alignment horizontal="center" vertical="bottom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15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5" numFmtId="46" xfId="0" applyAlignment="1" applyFont="1" applyNumberFormat="1">
      <alignment horizontal="center" vertical="bottom"/>
    </xf>
    <xf borderId="2" fillId="0" fontId="5" numFmtId="0" xfId="0" applyAlignment="1" applyBorder="1" applyFont="1">
      <alignment readingOrder="0" shrinkToFit="0" wrapText="1"/>
    </xf>
    <xf borderId="2" fillId="0" fontId="1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nscricao.formacaoaws.com.br/" TargetMode="External"/><Relationship Id="rId10" Type="http://schemas.openxmlformats.org/officeDocument/2006/relationships/hyperlink" Target="https://hotmart.com/pt-BR/club/formacaoaws/products/5751501/content/M7qdKVD1ex" TargetMode="External"/><Relationship Id="rId13" Type="http://schemas.openxmlformats.org/officeDocument/2006/relationships/hyperlink" Target="https://instagram.com/henryllemaia" TargetMode="External"/><Relationship Id="rId12" Type="http://schemas.openxmlformats.org/officeDocument/2006/relationships/hyperlink" Target="https://links.formacaoaws.com.br/ltRl" TargetMode="External"/><Relationship Id="rId1" Type="http://schemas.openxmlformats.org/officeDocument/2006/relationships/hyperlink" Target="https://youtu.be/X7bIofG1KzU" TargetMode="External"/><Relationship Id="rId2" Type="http://schemas.openxmlformats.org/officeDocument/2006/relationships/hyperlink" Target="https://www.youtube.com/watch?v=mxf0DgZeaW0" TargetMode="External"/><Relationship Id="rId3" Type="http://schemas.openxmlformats.org/officeDocument/2006/relationships/hyperlink" Target="https://links.formacaoaws.com.br/aquecimento-gravado-aula-03" TargetMode="External"/><Relationship Id="rId4" Type="http://schemas.openxmlformats.org/officeDocument/2006/relationships/hyperlink" Target="https://links.formacaoaws.com.br/aquecimento-gravado-aula-04" TargetMode="External"/><Relationship Id="rId9" Type="http://schemas.openxmlformats.org/officeDocument/2006/relationships/hyperlink" Target="https://hotmart.com/pt-BR/club/formacaoaws/products/5751501/content/2OMJr5G946" TargetMode="External"/><Relationship Id="rId15" Type="http://schemas.openxmlformats.org/officeDocument/2006/relationships/hyperlink" Target="https://www.linkedin.com/in/henrylle/recent-activity/all/" TargetMode="External"/><Relationship Id="rId14" Type="http://schemas.openxmlformats.org/officeDocument/2006/relationships/hyperlink" Target="https://inscricao.formacaoaws.com.br/suporte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youtube.com/playlist?list=PL1GKfF64-2s2P2o-MgFvky-1vNQxntLDT" TargetMode="External"/><Relationship Id="rId5" Type="http://schemas.openxmlformats.org/officeDocument/2006/relationships/hyperlink" Target="https://links.formacaoaws.com.br/aquecimento-gravado-aula-05" TargetMode="External"/><Relationship Id="rId6" Type="http://schemas.openxmlformats.org/officeDocument/2006/relationships/hyperlink" Target="https://hotmart.com/pt-BR/club/formacaoaws/products/5751501/content/V73R8rkpe3" TargetMode="External"/><Relationship Id="rId7" Type="http://schemas.openxmlformats.org/officeDocument/2006/relationships/hyperlink" Target="https://hotmart.com/pt-BR/club/formacaoaws/products/5751501/content/NOwQrzMbem" TargetMode="External"/><Relationship Id="rId8" Type="http://schemas.openxmlformats.org/officeDocument/2006/relationships/hyperlink" Target="https://hotmart.com/pt-BR/club/formacaoaws/products/5751501/content/oODgRbXN7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5.75"/>
    <col customWidth="1" min="3" max="3" width="40.25"/>
    <col customWidth="1" min="4" max="4" width="56.75"/>
    <col customWidth="1" min="5" max="6" width="15.13"/>
  </cols>
  <sheetData>
    <row r="1">
      <c r="A1" s="1" t="s">
        <v>0</v>
      </c>
    </row>
    <row r="2">
      <c r="A2" s="2" t="s">
        <v>1</v>
      </c>
    </row>
    <row r="3">
      <c r="A3" s="3"/>
      <c r="H3" s="4"/>
    </row>
    <row r="4">
      <c r="A4" s="5" t="s">
        <v>2</v>
      </c>
      <c r="B4" s="6" t="s">
        <v>3</v>
      </c>
      <c r="C4" s="7"/>
      <c r="D4" s="7"/>
      <c r="E4" s="8"/>
      <c r="F4" s="9" t="s">
        <v>4</v>
      </c>
      <c r="G4" s="8"/>
      <c r="H4" s="10" t="str">
        <f>CONCATENATE(COUNTIF(H9:H12,true),"/",COUNTA(H9:H12))</f>
        <v>0/4</v>
      </c>
    </row>
    <row r="5" ht="54.75" customHeight="1">
      <c r="A5" s="11" t="s">
        <v>5</v>
      </c>
      <c r="B5" s="12" t="s">
        <v>6</v>
      </c>
      <c r="C5" s="7"/>
      <c r="D5" s="7"/>
      <c r="E5" s="8"/>
      <c r="F5" s="13" t="s">
        <v>7</v>
      </c>
      <c r="G5" s="8"/>
      <c r="H5" s="14">
        <v>46053.0</v>
      </c>
    </row>
    <row r="7">
      <c r="A7" s="15" t="s">
        <v>8</v>
      </c>
    </row>
    <row r="8">
      <c r="A8" s="5" t="s">
        <v>9</v>
      </c>
      <c r="B8" s="5" t="s">
        <v>10</v>
      </c>
      <c r="C8" s="11" t="s">
        <v>11</v>
      </c>
      <c r="D8" s="5" t="s">
        <v>12</v>
      </c>
      <c r="E8" s="11" t="s">
        <v>13</v>
      </c>
      <c r="F8" s="11" t="s">
        <v>14</v>
      </c>
      <c r="G8" s="11" t="s">
        <v>15</v>
      </c>
      <c r="H8" s="16" t="s">
        <v>16</v>
      </c>
    </row>
    <row r="9">
      <c r="A9" s="17" t="s">
        <v>3</v>
      </c>
      <c r="B9" s="18" t="s">
        <v>17</v>
      </c>
      <c r="C9" s="17" t="s">
        <v>18</v>
      </c>
      <c r="D9" s="19" t="str">
        <f t="shared" ref="D9:D10" si="1">CONCATENATE("https://live.imersaoaws.com.br/aula01")</f>
        <v>https://live.imersaoaws.com.br/aula01</v>
      </c>
      <c r="E9" s="20">
        <v>0.125</v>
      </c>
      <c r="F9" s="21">
        <f t="shared" ref="F9:F12" si="2">IF(G9,E9*2,E9)</f>
        <v>0.25</v>
      </c>
      <c r="G9" s="22" t="b">
        <v>1</v>
      </c>
      <c r="H9" s="23" t="b">
        <v>0</v>
      </c>
    </row>
    <row r="10">
      <c r="A10" s="17" t="s">
        <v>3</v>
      </c>
      <c r="B10" s="18" t="s">
        <v>19</v>
      </c>
      <c r="C10" s="17" t="s">
        <v>20</v>
      </c>
      <c r="D10" s="19" t="str">
        <f t="shared" si="1"/>
        <v>https://live.imersaoaws.com.br/aula01</v>
      </c>
      <c r="E10" s="20">
        <v>0.16666666666666666</v>
      </c>
      <c r="F10" s="21">
        <f t="shared" si="2"/>
        <v>0.3333333333</v>
      </c>
      <c r="G10" s="24" t="b">
        <v>1</v>
      </c>
      <c r="H10" s="23" t="b">
        <v>0</v>
      </c>
    </row>
    <row r="11">
      <c r="A11" s="17" t="s">
        <v>3</v>
      </c>
      <c r="B11" s="18" t="s">
        <v>21</v>
      </c>
      <c r="C11" s="17" t="s">
        <v>22</v>
      </c>
      <c r="D11" s="19" t="str">
        <f t="shared" ref="D11:D12" si="3">CONCATENATE("https://live.imersaoaws.com.br/aula02")</f>
        <v>https://live.imersaoaws.com.br/aula02</v>
      </c>
      <c r="E11" s="20">
        <v>0.125</v>
      </c>
      <c r="F11" s="21">
        <f t="shared" si="2"/>
        <v>0.25</v>
      </c>
      <c r="G11" s="24" t="b">
        <v>1</v>
      </c>
      <c r="H11" s="23" t="b">
        <v>0</v>
      </c>
    </row>
    <row r="12">
      <c r="A12" s="17" t="s">
        <v>3</v>
      </c>
      <c r="B12" s="18" t="s">
        <v>23</v>
      </c>
      <c r="C12" s="17" t="s">
        <v>24</v>
      </c>
      <c r="D12" s="19" t="str">
        <f t="shared" si="3"/>
        <v>https://live.imersaoaws.com.br/aula02</v>
      </c>
      <c r="E12" s="20">
        <v>0.16666666666666666</v>
      </c>
      <c r="F12" s="21">
        <f t="shared" si="2"/>
        <v>0.3333333333</v>
      </c>
      <c r="G12" s="22" t="b">
        <v>1</v>
      </c>
      <c r="H12" s="23" t="b">
        <v>0</v>
      </c>
      <c r="J12" s="25"/>
    </row>
    <row r="14">
      <c r="A14" s="26" t="s">
        <v>25</v>
      </c>
      <c r="B14" s="27"/>
      <c r="C14" s="27"/>
      <c r="D14" s="27"/>
      <c r="E14" s="27"/>
      <c r="F14" s="27"/>
      <c r="G14" s="27"/>
      <c r="H14" s="27"/>
    </row>
    <row r="15">
      <c r="A15" s="5" t="s">
        <v>9</v>
      </c>
      <c r="B15" s="5" t="s">
        <v>10</v>
      </c>
      <c r="C15" s="11" t="s">
        <v>11</v>
      </c>
      <c r="D15" s="5" t="s">
        <v>12</v>
      </c>
      <c r="E15" s="11" t="s">
        <v>13</v>
      </c>
      <c r="F15" s="11" t="s">
        <v>14</v>
      </c>
      <c r="G15" s="11" t="s">
        <v>15</v>
      </c>
      <c r="H15" s="16" t="s">
        <v>16</v>
      </c>
    </row>
    <row r="16">
      <c r="A16" s="17" t="s">
        <v>26</v>
      </c>
      <c r="B16" s="18" t="s">
        <v>27</v>
      </c>
      <c r="C16" s="17" t="s">
        <v>28</v>
      </c>
      <c r="D16" s="19" t="s">
        <v>29</v>
      </c>
      <c r="E16" s="20">
        <v>0.022939814814814816</v>
      </c>
      <c r="F16" s="21">
        <f t="shared" ref="F16:F25" si="4">IF(G16,E16*4,E16)</f>
        <v>0.09175925926</v>
      </c>
      <c r="G16" s="28" t="b">
        <v>1</v>
      </c>
      <c r="H16" s="28" t="b">
        <v>0</v>
      </c>
    </row>
    <row r="17">
      <c r="A17" s="17" t="s">
        <v>26</v>
      </c>
      <c r="B17" s="18" t="s">
        <v>27</v>
      </c>
      <c r="C17" s="17" t="s">
        <v>30</v>
      </c>
      <c r="D17" s="19" t="s">
        <v>31</v>
      </c>
      <c r="E17" s="20">
        <v>0.010127314814814815</v>
      </c>
      <c r="F17" s="21">
        <f t="shared" si="4"/>
        <v>0.04050925926</v>
      </c>
      <c r="G17" s="28" t="b">
        <v>1</v>
      </c>
      <c r="H17" s="28" t="b">
        <v>0</v>
      </c>
    </row>
    <row r="18">
      <c r="A18" s="29" t="s">
        <v>26</v>
      </c>
      <c r="B18" s="30" t="s">
        <v>27</v>
      </c>
      <c r="C18" s="29" t="s">
        <v>32</v>
      </c>
      <c r="D18" s="31" t="s">
        <v>33</v>
      </c>
      <c r="E18" s="32">
        <v>0.019791666666666666</v>
      </c>
      <c r="F18" s="33">
        <f t="shared" si="4"/>
        <v>0.07916666667</v>
      </c>
      <c r="G18" s="34" t="b">
        <v>1</v>
      </c>
      <c r="H18" s="34" t="b">
        <v>0</v>
      </c>
    </row>
    <row r="19">
      <c r="A19" s="17" t="s">
        <v>26</v>
      </c>
      <c r="B19" s="18" t="s">
        <v>27</v>
      </c>
      <c r="C19" s="17" t="s">
        <v>34</v>
      </c>
      <c r="D19" s="35" t="s">
        <v>35</v>
      </c>
      <c r="E19" s="20">
        <v>0.010833333333333334</v>
      </c>
      <c r="F19" s="21">
        <f t="shared" si="4"/>
        <v>0.04333333333</v>
      </c>
      <c r="G19" s="28" t="b">
        <v>1</v>
      </c>
      <c r="H19" s="28" t="b">
        <v>0</v>
      </c>
    </row>
    <row r="20">
      <c r="A20" s="17" t="s">
        <v>26</v>
      </c>
      <c r="B20" s="18" t="s">
        <v>27</v>
      </c>
      <c r="C20" s="17" t="s">
        <v>36</v>
      </c>
      <c r="D20" s="35" t="s">
        <v>37</v>
      </c>
      <c r="E20" s="20">
        <v>0.012361111111111111</v>
      </c>
      <c r="F20" s="21">
        <f t="shared" si="4"/>
        <v>0.04944444444</v>
      </c>
      <c r="G20" s="28" t="b">
        <v>1</v>
      </c>
      <c r="H20" s="28" t="b">
        <v>0</v>
      </c>
    </row>
    <row r="21">
      <c r="A21" s="17" t="s">
        <v>26</v>
      </c>
      <c r="B21" s="18" t="s">
        <v>27</v>
      </c>
      <c r="C21" s="17" t="s">
        <v>38</v>
      </c>
      <c r="D21" s="19" t="s">
        <v>39</v>
      </c>
      <c r="E21" s="20">
        <v>0.023391203703703702</v>
      </c>
      <c r="F21" s="21">
        <f t="shared" si="4"/>
        <v>0.09356481481</v>
      </c>
      <c r="G21" s="36" t="b">
        <v>1</v>
      </c>
      <c r="H21" s="28" t="b">
        <v>0</v>
      </c>
    </row>
    <row r="22">
      <c r="A22" s="17" t="s">
        <v>26</v>
      </c>
      <c r="B22" s="18" t="s">
        <v>27</v>
      </c>
      <c r="C22" s="17" t="s">
        <v>40</v>
      </c>
      <c r="D22" s="19" t="s">
        <v>41</v>
      </c>
      <c r="E22" s="20">
        <v>0.034826388888888886</v>
      </c>
      <c r="F22" s="21">
        <f t="shared" si="4"/>
        <v>0.03482638889</v>
      </c>
      <c r="G22" s="36" t="b">
        <v>0</v>
      </c>
      <c r="H22" s="28" t="b">
        <v>0</v>
      </c>
    </row>
    <row r="23">
      <c r="A23" s="17" t="s">
        <v>26</v>
      </c>
      <c r="B23" s="18"/>
      <c r="C23" s="17" t="s">
        <v>42</v>
      </c>
      <c r="D23" s="19" t="s">
        <v>43</v>
      </c>
      <c r="E23" s="20">
        <v>0.028009259259259258</v>
      </c>
      <c r="F23" s="21">
        <f t="shared" si="4"/>
        <v>0.02800925926</v>
      </c>
      <c r="G23" s="36" t="b">
        <v>0</v>
      </c>
      <c r="H23" s="28" t="b">
        <v>0</v>
      </c>
    </row>
    <row r="24">
      <c r="A24" s="29" t="s">
        <v>26</v>
      </c>
      <c r="B24" s="30"/>
      <c r="C24" s="29" t="s">
        <v>44</v>
      </c>
      <c r="D24" s="37" t="s">
        <v>45</v>
      </c>
      <c r="E24" s="32">
        <v>0.0444212962962963</v>
      </c>
      <c r="F24" s="33">
        <f t="shared" si="4"/>
        <v>0.1776851852</v>
      </c>
      <c r="G24" s="36" t="b">
        <v>1</v>
      </c>
      <c r="H24" s="28" t="b">
        <v>0</v>
      </c>
    </row>
    <row r="25">
      <c r="A25" s="29" t="s">
        <v>26</v>
      </c>
      <c r="B25" s="18"/>
      <c r="C25" s="17" t="s">
        <v>46</v>
      </c>
      <c r="D25" s="19" t="s">
        <v>47</v>
      </c>
      <c r="E25" s="20">
        <v>0.015289351851851853</v>
      </c>
      <c r="F25" s="33">
        <f t="shared" si="4"/>
        <v>0.01528935185</v>
      </c>
      <c r="G25" s="36" t="b">
        <v>0</v>
      </c>
      <c r="H25" s="28" t="b">
        <v>0</v>
      </c>
    </row>
    <row r="26">
      <c r="A26" s="38"/>
      <c r="B26" s="39"/>
      <c r="C26" s="38"/>
      <c r="D26" s="40"/>
      <c r="E26" s="41"/>
      <c r="F26" s="42"/>
      <c r="G26" s="43"/>
      <c r="H26" s="44"/>
    </row>
    <row r="27">
      <c r="A27" s="45" t="s">
        <v>48</v>
      </c>
      <c r="D27" s="46"/>
      <c r="E27" s="47">
        <f>SUM(F9:F12,F16:F26)</f>
        <v>1.82025463</v>
      </c>
      <c r="F27" s="46"/>
      <c r="G27" s="46"/>
    </row>
    <row r="29">
      <c r="A29" s="15" t="s">
        <v>49</v>
      </c>
    </row>
    <row r="30">
      <c r="A30" s="13" t="s">
        <v>50</v>
      </c>
      <c r="B30" s="7"/>
      <c r="C30" s="7"/>
      <c r="D30" s="8"/>
      <c r="E30" s="13" t="s">
        <v>51</v>
      </c>
      <c r="F30" s="7"/>
      <c r="G30" s="7"/>
      <c r="H30" s="8"/>
    </row>
    <row r="31">
      <c r="A31" s="48" t="s">
        <v>52</v>
      </c>
      <c r="B31" s="7"/>
      <c r="C31" s="7"/>
      <c r="D31" s="8"/>
      <c r="E31" s="49" t="s">
        <v>53</v>
      </c>
      <c r="F31" s="7"/>
      <c r="G31" s="7"/>
      <c r="H31" s="8"/>
    </row>
    <row r="32">
      <c r="A32" s="48" t="s">
        <v>54</v>
      </c>
      <c r="B32" s="7"/>
      <c r="C32" s="7"/>
      <c r="D32" s="8"/>
      <c r="E32" s="49" t="s">
        <v>55</v>
      </c>
      <c r="F32" s="7"/>
      <c r="G32" s="7"/>
      <c r="H32" s="8"/>
    </row>
    <row r="33">
      <c r="A33" s="48" t="s">
        <v>56</v>
      </c>
      <c r="B33" s="7"/>
      <c r="C33" s="7"/>
      <c r="D33" s="8"/>
      <c r="E33" s="49" t="s">
        <v>57</v>
      </c>
      <c r="F33" s="7"/>
      <c r="G33" s="7"/>
      <c r="H33" s="8"/>
    </row>
    <row r="34">
      <c r="A34" s="48" t="s">
        <v>58</v>
      </c>
      <c r="B34" s="7"/>
      <c r="C34" s="7"/>
      <c r="D34" s="8"/>
      <c r="E34" s="49" t="s">
        <v>59</v>
      </c>
      <c r="F34" s="7"/>
      <c r="G34" s="7"/>
      <c r="H34" s="8"/>
    </row>
    <row r="35">
      <c r="A35" s="48" t="s">
        <v>60</v>
      </c>
      <c r="B35" s="7"/>
      <c r="C35" s="7"/>
      <c r="D35" s="8"/>
      <c r="E35" s="49" t="s">
        <v>61</v>
      </c>
      <c r="F35" s="7"/>
      <c r="G35" s="7"/>
      <c r="H35" s="8"/>
    </row>
    <row r="36">
      <c r="A36" s="48" t="s">
        <v>62</v>
      </c>
      <c r="B36" s="7"/>
      <c r="C36" s="7"/>
      <c r="D36" s="8"/>
      <c r="E36" s="49" t="s">
        <v>63</v>
      </c>
      <c r="F36" s="7"/>
      <c r="G36" s="7"/>
      <c r="H36" s="8"/>
    </row>
  </sheetData>
  <mergeCells count="26">
    <mergeCell ref="A1:H1"/>
    <mergeCell ref="A2:H2"/>
    <mergeCell ref="A3:G3"/>
    <mergeCell ref="H3:J3"/>
    <mergeCell ref="B4:E4"/>
    <mergeCell ref="F4:G4"/>
    <mergeCell ref="F5:G5"/>
    <mergeCell ref="B5:E5"/>
    <mergeCell ref="A7:H7"/>
    <mergeCell ref="A14:H14"/>
    <mergeCell ref="A27:C27"/>
    <mergeCell ref="A29:H29"/>
    <mergeCell ref="A30:D30"/>
    <mergeCell ref="E30:H30"/>
    <mergeCell ref="A34:D34"/>
    <mergeCell ref="A35:D35"/>
    <mergeCell ref="A36:D36"/>
    <mergeCell ref="E35:H35"/>
    <mergeCell ref="E36:H36"/>
    <mergeCell ref="A31:D31"/>
    <mergeCell ref="E31:H31"/>
    <mergeCell ref="A32:D32"/>
    <mergeCell ref="E32:H32"/>
    <mergeCell ref="A33:D33"/>
    <mergeCell ref="E33:H33"/>
    <mergeCell ref="E34:H34"/>
  </mergeCells>
  <hyperlinks>
    <hyperlink r:id="rId1" ref="D16"/>
    <hyperlink r:id="rId2" ref="D17"/>
    <hyperlink r:id="rId3" ref="D18"/>
    <hyperlink r:id="rId4" ref="D19"/>
    <hyperlink r:id="rId5" ref="D20"/>
    <hyperlink r:id="rId6" ref="D21"/>
    <hyperlink r:id="rId7" ref="D22"/>
    <hyperlink r:id="rId8" ref="D23"/>
    <hyperlink r:id="rId9" ref="D24"/>
    <hyperlink r:id="rId10" ref="D25"/>
    <hyperlink r:id="rId11" ref="E31"/>
    <hyperlink r:id="rId12" ref="E32"/>
    <hyperlink r:id="rId13" ref="E33"/>
    <hyperlink r:id="rId14" ref="E34"/>
    <hyperlink r:id="rId15" ref="E35"/>
    <hyperlink r:id="rId16" ref="E3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